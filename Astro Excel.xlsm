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490" windowHeight="7620"/>
  </bookViews>
  <sheets>
    <sheet name="Charts" sheetId="27" r:id="rId1"/>
  </sheets>
  <functionGroups builtInGroupCount="18"/>
  <externalReferences>
    <externalReference r:id="rId2"/>
  </externalReferences>
  <definedNames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StarDeg">[1]DATA!$F$44</definedName>
    <definedName name="TimeZone">#REF!</definedName>
  </definedNames>
  <calcPr calcId="152511"/>
</workbook>
</file>

<file path=xl/calcChain.xml><?xml version="1.0" encoding="utf-8"?>
<calcChain xmlns="http://schemas.openxmlformats.org/spreadsheetml/2006/main">
  <c r="G2" i="27" l="1"/>
  <c r="O2" i="27"/>
  <c r="N2" i="27"/>
  <c r="L2" i="27"/>
  <c r="H2" i="27"/>
  <c r="K2" i="27"/>
  <c r="J2" i="27"/>
  <c r="M2" i="27"/>
  <c r="Q2" i="27"/>
  <c r="R2" i="27"/>
  <c r="P2" i="27"/>
  <c r="I2" i="27" l="1"/>
  <c r="S2" i="27" l="1"/>
  <c r="T2" i="27"/>
  <c r="U2" i="27" s="1"/>
  <c r="V2" i="27" s="1"/>
  <c r="W2" i="27" s="1"/>
  <c r="X2" i="27" s="1"/>
</calcChain>
</file>

<file path=xl/sharedStrings.xml><?xml version="1.0" encoding="utf-8"?>
<sst xmlns="http://schemas.openxmlformats.org/spreadsheetml/2006/main" count="25" uniqueCount="25">
  <si>
    <t xml:space="preserve">Sun </t>
  </si>
  <si>
    <t xml:space="preserve">Moon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</si>
  <si>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</si>
  <si>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</si>
  <si>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</si>
  <si>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</si>
  <si>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</si>
  <si>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Dhooma</t>
  </si>
  <si>
    <t>Vyati</t>
  </si>
  <si>
    <t>I.Chapa</t>
  </si>
  <si>
    <t>Upaketu</t>
  </si>
  <si>
    <t xml:space="preserve">Mars </t>
  </si>
  <si>
    <t>Weekday</t>
  </si>
  <si>
    <t>Name</t>
  </si>
  <si>
    <t>Sunrise</t>
  </si>
  <si>
    <t>Parivesha</t>
  </si>
  <si>
    <t>Jupiter</t>
  </si>
  <si>
    <t>TZ</t>
  </si>
  <si>
    <t>Date</t>
  </si>
  <si>
    <t>Time</t>
  </si>
  <si>
    <t>Lat</t>
  </si>
  <si>
    <t>Long</t>
  </si>
  <si>
    <t>UT(GMT)</t>
  </si>
  <si>
    <t>Merc</t>
  </si>
  <si>
    <t>Manish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</si>
</sst>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1" formatCode="[$-F400]h:mm:ss\ AM/PM"/>
    <numFmt numFmtId="172" formatCode="yyyy/mm/dd\ ddd\ hh:mm"/>
    <numFmt numFmtId="173" formatCode="0.000"/>
  </numFmts>
  <fonts count="3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2" fillId="0" borderId="0" xfId="0" applyFont="1"/>
    <xf numFmtId="173" fontId="0" fillId="0" borderId="0" xfId="0" applyNumberFormat="1"/>
    <xf numFmtId="172" fontId="2" fillId="0" borderId="0" xfId="0" applyNumberFormat="1" applyFont="1"/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2" name="Charts" displayName="Charts" ref="A1:X2" totalsRowShown="0">
  <autoFilter ref="A1:X2"/>
  <tableColumns count="24">
    <tableColumn id="1" name="Name"/>
    <tableColumn id="2" name="Date" dataDxfId="20"/>
    <tableColumn id="3" name="Time" dataDxfId="19"/>
    <tableColumn id="4" name="TZ"/>
    <tableColumn id="5" name="Lat" dataDxfId="18">
      <calculatedColumnFormula>10+57/60</calculatedColumnFormula>
    </tableColumn>
    <tableColumn id="6" name="Long" dataDxfId="17">
      <calculatedColumnFormula>78+5/60</calculatedColumnFormula>
    </tableColumn>
    <tableColumn id="7" name="UT(GMT)" dataDxfId="16">
      <calculatedColumnFormula>B2+C2-D2/24</calculatedColumnFormula>
    </tableColumn>
    <tableColumn id="8" name="Sunrise" dataDxfId="15">
      <calculatedColumnFormula>sunrise(E2,F2,G2)+D2/24</calculatedColumnFormula>
    </tableColumn>
    <tableColumn id="9" name="Weekday">
      <calculatedColumnFormula>CHOOSE(WEEKDAY(G2),"Sunday","Monday","Tuesday","Wednesday","Thursday","Friday","Saturday")</calculatedColumnFormula>
    </tableColumn>
    <tableColumn id="10" name="Asdt " dataDxfId="14">
      <calculatedColumnFormula>Asdt(E2,F2,G2)</calculatedColumnFormula>
    </tableColumn>
    <tableColumn id="11" name="Sun " dataDxfId="13">
      <calculatedColumnFormula>Planet(G2,0)</calculatedColumnFormula>
    </tableColumn>
    <tableColumn id="12" name="Moon " dataDxfId="12">
      <calculatedColumnFormula>Planet(G2,1)</calculatedColumnFormula>
    </tableColumn>
    <tableColumn id="13" name="Mars " dataDxfId="11">
      <calculatedColumnFormula>Planet(G2,4)</calculatedColumnFormula>
    </tableColumn>
    <tableColumn id="14" name="Merc" dataDxfId="10">
      <calculatedColumnFormula>Planet(G2,2)</calculatedColumnFormula>
    </tableColumn>
    <tableColumn id="15" name="Jupiter" dataDxfId="9">
      <calculatedColumnFormula>Planet(G2,5)</calculatedColumnFormula>
    </tableColumn>
    <tableColumn id="16" name="Venus " dataDxfId="8">
      <calculatedColumnFormula>Planet(G2,3)</calculatedColumnFormula>
    </tableColumn>
    <tableColumn id="17" name="Saturn " dataDxfId="7">
      <calculatedColumnFormula>Planet(G2,6)</calculatedColumnFormula>
    </tableColumn>
    <tableColumn id="18" name="Rahu " dataDxfId="6">
      <calculatedColumnFormula>Planet(G2,10)</calculatedColumnFormula>
    </tableColumn>
    <tableColumn id="19" name="Ketu " dataDxfId="5">
      <calculatedColumnFormula>IF(R2&lt;180,R2+180,R2-180)</calculatedColumnFormula>
    </tableColumn>
    <tableColumn id="20" name="Dhooma" dataDxfId="4">
      <calculatedColumnFormula>(K2+133.33)-FLOOR((K2+133.33)/360,1)*360</calculatedColumnFormula>
    </tableColumn>
    <tableColumn id="21" name="Vyati" dataDxfId="3">
      <calculatedColumnFormula>360-T2</calculatedColumnFormula>
    </tableColumn>
    <tableColumn id="22" name="Parivesha" dataDxfId="2">
      <calculatedColumnFormula>(180+U2)-FLOOR((180+U2)/360,1)*360</calculatedColumnFormula>
    </tableColumn>
    <tableColumn id="23" name="I.Chapa" dataDxfId="1">
      <calculatedColumnFormula>360-V2</calculatedColumnFormula>
    </tableColumn>
    <tableColumn id="24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"/>
  <sheetViews>
    <sheetView tabSelected="1" workbookViewId="0">
      <selection activeCell="A3" sqref="A3"/>
    </sheetView>
  </sheetViews>
  <sheetFormatPr defaultColWidth="8" defaultRowHeight="12.75" x14ac:dyDescent="0.2"/>
  <cols>
    <col min="1" max="1" width="8.5703125" bestFit="1" customWidth="1"/>
    <col min="2" max="2" width="9.140625" bestFit="1" customWidth="1"/>
    <col min="3" max="3" width="10.5703125" bestFit="1" customWidth="1"/>
    <col min="4" max="4" width="5.42578125" bestFit="1" customWidth="1"/>
    <col min="5" max="5" width="6.5703125" bestFit="1" customWidth="1"/>
    <col min="6" max="6" width="7.85546875" bestFit="1" customWidth="1"/>
    <col min="7" max="7" width="19" style="3" bestFit="1" customWidth="1"/>
    <col min="8" max="8" width="10.5703125" bestFit="1" customWidth="1"/>
    <col min="9" max="9" width="11.7109375" bestFit="1" customWidth="1"/>
    <col min="10" max="10" width="7.7109375" bestFit="1" customWidth="1"/>
    <col min="11" max="11" width="7.42578125" bestFit="1" customWidth="1"/>
    <col min="12" max="12" width="8.85546875" bestFit="1" customWidth="1"/>
    <col min="13" max="13" width="8.140625" bestFit="1" customWidth="1"/>
    <col min="14" max="14" width="7.7109375" bestFit="1" customWidth="1"/>
    <col min="15" max="15" width="9.5703125" bestFit="1" customWidth="1"/>
    <col min="16" max="16" width="9.42578125" bestFit="1" customWidth="1"/>
    <col min="17" max="17" width="9.85546875" bestFit="1" customWidth="1"/>
    <col min="18" max="18" width="8.5703125" bestFit="1" customWidth="1"/>
    <col min="19" max="19" width="8" bestFit="1" customWidth="1"/>
    <col min="20" max="20" width="10.85546875" bestFit="1" customWidth="1"/>
    <col min="21" max="21" width="7.85546875" bestFit="1" customWidth="1"/>
    <col min="22" max="22" width="12.28515625" bestFit="1" customWidth="1"/>
    <col min="23" max="23" width="10.28515625" bestFit="1" customWidth="1"/>
    <col min="24" max="24" width="10.7109375" bestFit="1" customWidth="1"/>
  </cols>
  <sheetData>
    <row r="1" spans="1:24" x14ac:dyDescent="0.2">
      <c r="A1" t="s">
        <v>13</v>
      </c>
      <c r="B1" s="4" t="s">
        <v>18</v>
      </c>
      <c r="C1" s="4" t="s">
        <v>19</v>
      </c>
      <c r="D1" s="4" t="s">
        <v>17</v>
      </c>
      <c r="E1" s="4" t="s">
        <v>20</v>
      </c>
      <c r="F1" s="4" t="s">
        <v>21</v>
      </c>
      <c r="G1" s="6" t="s">
        <v>22</v>
      </c>
      <c r="H1" t="s">
        <v>14</v>
      </c>
      <c r="I1" t="s">
        <v>12</v>
      </c>
      <c r="J1" t="s">
        <v>6</v>
      </c>
      <c r="K1" t="s">
        <v>0</v>
      </c>
      <c r="L1" t="s">
        <v>1</v>
      </c>
      <c r="M1" t="s">
        <v>11</v>
      </c>
      <c r="N1" s="4" t="s">
        <v>23</v>
      </c>
      <c r="O1" t="s">
        <v>16</v>
      </c>
      <c r="P1" t="s">
        <v>2</v>
      </c>
      <c r="Q1" t="s">
        <v>3</v>
      </c>
      <c r="R1" t="s">
        <v>4</v>
      </c>
      <c r="S1" t="s">
        <v>5</v>
      </c>
      <c r="T1" t="s">
        <v>7</v>
      </c>
      <c r="U1" t="s">
        <v>8</v>
      </c>
      <c r="V1" t="s">
        <v>15</v>
      </c>
      <c r="W1" t="s">
        <v>9</v>
      </c>
      <c r="X1" t="s">
        <v>10</v>
      </c>
    </row>
    <row r="2" spans="1:24" x14ac:dyDescent="0.2">
      <c r="A2" s="4" t="s">
        <v>24</v>
      </c>
      <c r="B2" s="1">
        <v>32275</v>
      </c>
      <c r="C2" s="2">
        <v>0.66666666666666663</v>
      </c>
      <c r="D2">
        <v>5.5</v>
      </c>
      <c r="E2" s="5">
        <v>17.385000000000002</v>
      </c>
      <c r="F2" s="5">
        <v>78.486699999999999</v>
      </c>
      <c r="G2" s="3">
        <f t="shared" ref="G2" si="0">B2+C2-D2/24</f>
        <v>32275.4375</v>
      </c>
      <c r="H2" s="2">
        <f>sunrise(E2,F2,G2)+D2/24</f>
        <v>32275.239654621731</v>
      </c>
      <c r="I2" t="str">
        <f t="shared" ref="I2" si="1">CHOOSE(WEEKDAY(G2),"Sunday","Monday","Tuesday","Wednesday","Thursday","Friday","Saturday")</f>
        <v>Thursday</v>
      </c>
      <c r="J2" s="5">
        <f t="shared" ref="J2" si="2">Asdt(E2,F2,G2)</f>
        <v>172.00085494279958</v>
      </c>
      <c r="K2" s="5">
        <f t="shared" ref="K2" si="3">Planet(G2,0)</f>
        <v>28.213509605454401</v>
      </c>
      <c r="L2" s="5">
        <f t="shared" ref="L2" si="4">Planet(G2,1)</f>
        <v>342.87164668490294</v>
      </c>
      <c r="M2" s="5">
        <f t="shared" ref="M2" si="5">Planet(G2,4)</f>
        <v>299.9222800023947</v>
      </c>
      <c r="N2" s="5">
        <f t="shared" ref="N2" si="6">Planet(G2,2)</f>
        <v>48.788777755937886</v>
      </c>
      <c r="O2" s="5">
        <f t="shared" ref="O2" si="7">Planet(G2,5)</f>
        <v>21.241079853763015</v>
      </c>
      <c r="P2" s="5">
        <f t="shared" ref="P2" si="8">Planet(G2,3)</f>
        <v>64.884059043796441</v>
      </c>
      <c r="Q2" s="5">
        <f t="shared" ref="Q2" si="9">Planet(G2,6)</f>
        <v>248.08368780156701</v>
      </c>
      <c r="R2" s="5">
        <f t="shared" ref="R2" si="10">Planet(G2,10)</f>
        <v>326.45977252922751</v>
      </c>
      <c r="S2" s="5">
        <f t="shared" ref="S2" si="11">IF(R2&lt;180,R2+180,R2-180)</f>
        <v>146.45977252922751</v>
      </c>
      <c r="T2" s="5">
        <f t="shared" ref="T2" si="12">(K2+133.33)-FLOOR((K2+133.33)/360,1)*360</f>
        <v>161.5435096054544</v>
      </c>
      <c r="U2" s="5">
        <f t="shared" ref="U2" si="13">360-T2</f>
        <v>198.4564903945456</v>
      </c>
      <c r="V2" s="5">
        <f t="shared" ref="V2" si="14">(180+U2)-FLOOR((180+U2)/360,1)*360</f>
        <v>18.456490394545597</v>
      </c>
      <c r="W2" s="5">
        <f t="shared" ref="W2" si="15">360-V2</f>
        <v>341.5435096054544</v>
      </c>
      <c r="X2" s="5">
        <f t="shared" ref="X2" si="16">(W2+16.67)-FLOOR((W2+16.67)/360,1)*360</f>
        <v>358.21350960545442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ADMIN</cp:lastModifiedBy>
  <cp:lastPrinted>2018-01-08T12:10:24Z</cp:lastPrinted>
  <dcterms:created xsi:type="dcterms:W3CDTF">2001-11-19T16:23:41Z</dcterms:created>
  <dcterms:modified xsi:type="dcterms:W3CDTF">2021-05-15T08:59:03Z</dcterms:modified>
</cp:coreProperties>
</file>